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ata-analysis-set-c-9697\excel\"/>
    </mc:Choice>
  </mc:AlternateContent>
  <xr:revisionPtr revIDLastSave="0" documentId="13_ncr:1_{31A6662B-0465-4133-9FD7-1BDE02EE8803}" xr6:coauthVersionLast="47" xr6:coauthVersionMax="47" xr10:uidLastSave="{00000000-0000-0000-0000-000000000000}"/>
  <bookViews>
    <workbookView xWindow="-108" yWindow="-108" windowWidth="23256" windowHeight="13176" activeTab="3" xr2:uid="{B48F3378-1F63-4DDB-978B-C970769D6A82}"/>
  </bookViews>
  <sheets>
    <sheet name="Raw" sheetId="5" r:id="rId1"/>
    <sheet name="Lookup" sheetId="6" r:id="rId2"/>
    <sheet name="Clean" sheetId="3" r:id="rId3"/>
    <sheet name="Summary" sheetId="4" r:id="rId4"/>
  </sheets>
  <definedNames>
    <definedName name="ExternalData_1" localSheetId="0" hidden="1">Raw!$A$1:$F$14</definedName>
  </definedNames>
  <calcPr calcId="191029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 a="1"/>
  <c r="H4" i="3" a="1"/>
  <c r="H5" i="3" a="1"/>
  <c r="H6" i="3" a="1"/>
  <c r="H7" i="3" a="1"/>
  <c r="H8" i="3" a="1"/>
  <c r="H9" i="3" a="1"/>
  <c r="H10" i="3" a="1"/>
  <c r="H11" i="3" a="1"/>
  <c r="H12" i="3" a="1"/>
  <c r="H13" i="3" a="1"/>
  <c r="H2" i="3" a="1"/>
  <c r="G3" i="3"/>
  <c r="G4" i="3"/>
  <c r="G5" i="3"/>
  <c r="G6" i="3"/>
  <c r="G7" i="3"/>
  <c r="G8" i="3"/>
  <c r="G9" i="3"/>
  <c r="G10" i="3"/>
  <c r="G11" i="3"/>
  <c r="G12" i="3"/>
  <c r="G13" i="3"/>
  <c r="G2" i="3"/>
  <c r="K18" i="3" a="1"/>
  <c r="K1" i="3"/>
  <c r="K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073498-91A3-4C3A-97D7-E4CB620C9621}" keepAlive="1" name="Query - assessments" description="Connection to the 'assessments' query in the workbook." type="5" refreshedVersion="8" background="1" saveData="1">
    <dbPr connection="Provider=Microsoft.Mashup.OleDb.1;Data Source=$Workbook$;Location=assessments;Extended Properties=&quot;&quot;" command="SELECT * FROM [assessments]"/>
  </connection>
  <connection id="2" xr16:uid="{8561825C-598E-4121-9D7C-BB32B91472A8}" keepAlive="1" name="Query - courses" description="Connection to the 'courses' query in the workbook." type="5" refreshedVersion="0" background="1">
    <dbPr connection="Provider=Microsoft.Mashup.OleDb.1;Data Source=$Workbook$;Location=courses;Extended Properties=&quot;&quot;" command="SELECT * FROM [cours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<sst xmlns="http://schemas.openxmlformats.org/spreadsheetml/2006/main" count="140" uniqueCount="35">
  <si>
    <t>assessment_id</t>
  </si>
  <si>
    <t>month</t>
  </si>
  <si>
    <t>course_id</t>
  </si>
  <si>
    <t>batch</t>
  </si>
  <si>
    <t>score</t>
  </si>
  <si>
    <t>attendance_pct</t>
  </si>
  <si>
    <t>Jan</t>
  </si>
  <si>
    <t>C1</t>
  </si>
  <si>
    <t>Morning</t>
  </si>
  <si>
    <t>C2</t>
  </si>
  <si>
    <t>Evening</t>
  </si>
  <si>
    <t>C3</t>
  </si>
  <si>
    <t>C4</t>
  </si>
  <si>
    <t>Weekend</t>
  </si>
  <si>
    <t>Feb</t>
  </si>
  <si>
    <t>Mar</t>
  </si>
  <si>
    <t>course</t>
  </si>
  <si>
    <t>department</t>
  </si>
  <si>
    <t>Excel</t>
  </si>
  <si>
    <t>Business</t>
  </si>
  <si>
    <t>PowerBI</t>
  </si>
  <si>
    <t>SQL</t>
  </si>
  <si>
    <t>Technology</t>
  </si>
  <si>
    <t>Python</t>
  </si>
  <si>
    <t>pass_flag</t>
  </si>
  <si>
    <t>before duplication removal</t>
  </si>
  <si>
    <t>after duplication removal</t>
  </si>
  <si>
    <t>Batch</t>
  </si>
  <si>
    <t>Pass_flag</t>
  </si>
  <si>
    <t>Moarning</t>
  </si>
  <si>
    <t>Department</t>
  </si>
  <si>
    <t>Row Labels</t>
  </si>
  <si>
    <t>Grand Total</t>
  </si>
  <si>
    <t>Column Labels</t>
  </si>
  <si>
    <t>Average of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</si>
</sst>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0" fontId="0" fillId="0" borderId="1" xfId="0" applyBorder="1"/>
    <xf numFmtId="0" fontId="1" fillId="0" borderId="1" xfId="0" applyFont="1" applyBorder="1"/>
    <xf numFmtId="0" fontId="0" fillId="0" borderId="1" xfId="0" applyFill="1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[analysis.xlsx]Summary!PivotTable6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Summary!$B$1:$B$2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Summary!$A$3:$A$5</c:f>
              <c:strCache>
                <c:ptCount val="2"/>
                <c:pt idx="0">
                  <c:v>Business</c:v>
                </c:pt>
                <c:pt idx="1">
                  <c:v>Technology</c:v>
                </c:pt>
              </c:strCache>
            </c:strRef>
          </c:cat>
          <c:val>
            <c:numRef>
              <c:f>Summary!$B$3:$B$5</c:f>
              <c:numCache>
                <c:formatCode>General</c:formatCode>
                <c:ptCount val="2"/>
                <c:pt idx="0">
                  <c:v>58.5</c:v>
                </c:pt>
                <c:pt idx="1">
                  <c:v>51.5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FA-46CE-9BF1-25C74B154EF2}"/>
            </c:ext>
          </c:extLst>
        </c:ser>
        <c:ser>
          <c:idx val="1"/>
          <c:order val="1"/>
          <c:tx>
            <c:strRef>
              <c:f>Summary!$C$1:$C$2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Summary!$A$3:$A$5</c:f>
              <c:strCache>
                <c:ptCount val="2"/>
                <c:pt idx="0">
                  <c:v>Business</c:v>
                </c:pt>
                <c:pt idx="1">
                  <c:v>Technology</c:v>
                </c:pt>
              </c:strCache>
            </c:strRef>
          </c:cat>
          <c:val>
            <c:numRef>
              <c:f>Summary!$C$3:$C$5</c:f>
              <c:numCache>
                <c:formatCode>General</c:formatCode>
                <c:ptCount val="2"/>
                <c:pt idx="0">
                  <c:v>67.5</c:v>
                </c:pt>
                <c:pt idx="1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FA-46CE-9BF1-25C74B154EF2}"/>
            </c:ext>
          </c:extLst>
        </c:ser>
        <c:ser>
          <c:idx val="2"/>
          <c:order val="2"/>
          <c:tx>
            <c:strRef>
              <c:f>Summary!$D$1:$D$2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Summary!$A$3:$A$5</c:f>
              <c:strCache>
                <c:ptCount val="2"/>
                <c:pt idx="0">
                  <c:v>Business</c:v>
                </c:pt>
                <c:pt idx="1">
                  <c:v>Technology</c:v>
                </c:pt>
              </c:strCache>
            </c:strRef>
          </c:cat>
          <c:val>
            <c:numRef>
              <c:f>Summary!$D$3:$D$5</c:f>
              <c:numCache>
                <c:formatCode>General</c:formatCode>
                <c:ptCount val="2"/>
                <c:pt idx="0">
                  <c:v>75</c:v>
                </c:pt>
                <c:pt idx="1">
                  <c:v>58.5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FA-46CE-9BF1-25C74B154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1612304"/>
        <c:axId val="1076926192"/>
        <c:axId val="0"/>
      </c:bar3DChart>
      <c:catAx>
        <c:axId val="108161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6926192"/>
        <c:crosses val="autoZero"/>
        <c:auto val="1"/>
        <c:lblAlgn val="ctr"/>
        <c:lblOffset val="100"/>
        <c:noMultiLvlLbl val="0"/>
      </c:catAx>
      <c:valAx>
        <c:axId val="107692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61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7</xdr:row>
      <xdr:rowOff>45720</xdr:rowOff>
    </xdr:from>
    <xdr:to>
      <xdr:col>12</xdr:col>
      <xdr:colOff>495300</xdr:colOff>
      <xdr:row>22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4E6BD-7D29-64D1-5761-962606AC8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" refreshedDate="46298.440799652781" createdVersion="8" refreshedVersion="8" minRefreshableVersion="3" recordCount="12" xr:uid="{6C6157B9-A56F-45DA-AC8D-4A48EAD0084B}">
  <cacheSource type="worksheet">
    <worksheetSource ref="A1:H13" sheet="Clean"/>
  </cacheSource>
  <cacheFields count="8">
    <cacheField name="assessment_id" numFmtId="0">
      <sharedItems containsSemiMixedTypes="0" containsString="0" containsNumber="1" containsInteger="1" minValue="1" maxValue="12"/>
    </cacheField>
    <cacheField name="month" numFmtId="0">
      <sharedItems count="3">
        <s v="Jan"/>
        <s v="Feb"/>
        <s v="Mar"/>
      </sharedItems>
    </cacheField>
    <cacheField name="course_id" numFmtId="0">
      <sharedItems/>
    </cacheField>
    <cacheField name="batch" numFmtId="0">
      <sharedItems/>
    </cacheField>
    <cacheField name="score" numFmtId="0">
      <sharedItems containsSemiMixedTypes="0" containsString="0" containsNumber="1" containsInteger="1" minValue="38" maxValue="90"/>
    </cacheField>
    <cacheField name="attendance_pct" numFmtId="0">
      <sharedItems containsSemiMixedTypes="0" containsString="0" containsNumber="1" containsInteger="1" minValue="60" maxValue="98"/>
    </cacheField>
    <cacheField name="pass_flag" numFmtId="0">
      <sharedItems containsSemiMixedTypes="0" containsString="0" containsNumber="1" containsInteger="1" minValue="0" maxValue="1"/>
    </cacheField>
    <cacheField name="Department" numFmtId="0">
      <sharedItems count="2">
        <s v="Business"/>
        <s v="Technolog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x v="0"/>
    <s v="C1"/>
    <s v="Morning"/>
    <n v="72"/>
    <n v="90"/>
    <n v="1"/>
    <x v="0"/>
  </r>
  <r>
    <n v="2"/>
    <x v="0"/>
    <s v="C2"/>
    <s v="Evening"/>
    <n v="45"/>
    <n v="70"/>
    <n v="0"/>
    <x v="0"/>
  </r>
  <r>
    <n v="3"/>
    <x v="0"/>
    <s v="C3"/>
    <s v="Morning"/>
    <n v="65"/>
    <n v="85"/>
    <n v="1"/>
    <x v="1"/>
  </r>
  <r>
    <n v="4"/>
    <x v="0"/>
    <s v="C4"/>
    <s v="Weekend"/>
    <n v="38"/>
    <n v="60"/>
    <n v="0"/>
    <x v="1"/>
  </r>
  <r>
    <n v="5"/>
    <x v="1"/>
    <s v="C1"/>
    <s v="Evening"/>
    <n v="80"/>
    <n v="95"/>
    <n v="1"/>
    <x v="0"/>
  </r>
  <r>
    <n v="6"/>
    <x v="1"/>
    <s v="C2"/>
    <s v="Weekend"/>
    <n v="55"/>
    <n v="80"/>
    <n v="1"/>
    <x v="0"/>
  </r>
  <r>
    <n v="7"/>
    <x v="1"/>
    <s v="C3"/>
    <s v="Morning"/>
    <n v="48"/>
    <n v="75"/>
    <n v="0"/>
    <x v="1"/>
  </r>
  <r>
    <n v="8"/>
    <x v="1"/>
    <s v="C4"/>
    <s v="Evening"/>
    <n v="68"/>
    <n v="88"/>
    <n v="1"/>
    <x v="1"/>
  </r>
  <r>
    <n v="9"/>
    <x v="2"/>
    <s v="C1"/>
    <s v="Weekend"/>
    <n v="90"/>
    <n v="98"/>
    <n v="1"/>
    <x v="0"/>
  </r>
  <r>
    <n v="10"/>
    <x v="2"/>
    <s v="C2"/>
    <s v="Morning"/>
    <n v="60"/>
    <n v="82"/>
    <n v="1"/>
    <x v="0"/>
  </r>
  <r>
    <n v="11"/>
    <x v="2"/>
    <s v="C3"/>
    <s v="Evening"/>
    <n v="75"/>
    <n v="92"/>
    <n v="1"/>
    <x v="1"/>
  </r>
  <r>
    <n v="12"/>
    <x v="2"/>
    <s v="C4"/>
    <s v="Weekend"/>
    <n v="42"/>
    <n v="65"/>
    <n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929256-CAA9-4A3E-B7C3-9EAC44030825}" name="PivotTable6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1:E5" firstHeaderRow="1" firstDataRow="2" firstDataCol="1"/>
  <pivotFields count="8"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1">
    <field x="7"/>
  </rowFields>
  <rowItems count="3">
    <i>
      <x/>
    </i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erage of score" fld="4" subtotal="average" baseField="0" baseItem="0"/>
  </dataFields>
  <chartFormats count="3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268E591-7439-4197-AA41-00733715DB06}" autoFormatId="16" applyNumberFormats="0" applyBorderFormats="0" applyFontFormats="0" applyPatternFormats="0" applyAlignmentFormats="0" applyWidthHeightFormats="0">
  <queryTableRefresh nextId="7">
    <queryTableFields count="6">
      <queryTableField id="1" name="assessment_id" tableColumnId="1"/>
      <queryTableField id="2" name="month" tableColumnId="2"/>
      <queryTableField id="3" name="course_id" tableColumnId="3"/>
      <queryTableField id="4" name="batch" tableColumnId="4"/>
      <queryTableField id="5" name="score" tableColumnId="5"/>
      <queryTableField id="6" name="attendance_pc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027AB9-4790-4598-AA23-F130ACEEA182}" name="assessments" displayName="assessments" ref="A1:F14" tableType="queryTable" totalsRowShown="0">
  <autoFilter ref="A1:F14" xr:uid="{07027AB9-4790-4598-AA23-F130ACEEA182}"/>
  <tableColumns count="6">
    <tableColumn id="1" xr3:uid="{B0729666-B364-4F9D-A197-17C8609D0056}" uniqueName="1" name="assessment_id" queryTableFieldId="1"/>
    <tableColumn id="2" xr3:uid="{E7ACB076-B513-4A9F-9F7B-63D9A22426B6}" uniqueName="2" name="month" queryTableFieldId="2" dataDxfId="2"/>
    <tableColumn id="3" xr3:uid="{D9653B94-348B-4AD1-94CE-7B04D5C17D6E}" uniqueName="3" name="course_id" queryTableFieldId="3" dataDxfId="1"/>
    <tableColumn id="4" xr3:uid="{BA2F3915-A654-41CD-9FE3-4128375EAD34}" uniqueName="4" name="batch" queryTableFieldId="4" dataDxfId="0"/>
    <tableColumn id="5" xr3:uid="{A2F4E64B-72A5-415C-BB11-F4F1BA64B60A}" uniqueName="5" name="score" queryTableFieldId="5"/>
    <tableColumn id="6" xr3:uid="{CD2CAAFE-EA82-4725-8E83-7A3A26CF8233}" uniqueName="6" name="attendance_pc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6969E-922B-44B3-89EA-E1C274887A5F}">
  <dimension ref="A1:F14"/>
  <sheetViews>
    <sheetView workbookViewId="0">
      <selection activeCell="C27" sqref="C27"/>
    </sheetView>
  </sheetViews>
  <sheetFormatPr defaultRowHeight="14.4" x14ac:dyDescent="0.3"/>
  <cols>
    <col min="1" max="1" width="15.6640625" bestFit="1" customWidth="1"/>
    <col min="2" max="2" width="8.5546875" bestFit="1" customWidth="1"/>
    <col min="3" max="3" width="11.21875" bestFit="1" customWidth="1"/>
    <col min="4" max="4" width="8.5546875" bestFit="1" customWidth="1"/>
    <col min="5" max="5" width="7.77734375" bestFit="1" customWidth="1"/>
    <col min="6" max="6" width="16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 s="1" t="s">
        <v>6</v>
      </c>
      <c r="C2" s="1" t="s">
        <v>7</v>
      </c>
      <c r="D2" s="1" t="s">
        <v>8</v>
      </c>
      <c r="E2">
        <v>72</v>
      </c>
      <c r="F2">
        <v>90</v>
      </c>
    </row>
    <row r="3" spans="1:6" x14ac:dyDescent="0.3">
      <c r="A3">
        <v>2</v>
      </c>
      <c r="B3" s="1" t="s">
        <v>6</v>
      </c>
      <c r="C3" s="1" t="s">
        <v>9</v>
      </c>
      <c r="D3" s="1" t="s">
        <v>10</v>
      </c>
      <c r="E3">
        <v>45</v>
      </c>
      <c r="F3">
        <v>70</v>
      </c>
    </row>
    <row r="4" spans="1:6" x14ac:dyDescent="0.3">
      <c r="A4">
        <v>3</v>
      </c>
      <c r="B4" s="1" t="s">
        <v>6</v>
      </c>
      <c r="C4" s="1" t="s">
        <v>11</v>
      </c>
      <c r="D4" s="1" t="s">
        <v>8</v>
      </c>
      <c r="E4">
        <v>65</v>
      </c>
      <c r="F4">
        <v>85</v>
      </c>
    </row>
    <row r="5" spans="1:6" x14ac:dyDescent="0.3">
      <c r="A5">
        <v>4</v>
      </c>
      <c r="B5" s="1" t="s">
        <v>6</v>
      </c>
      <c r="C5" s="1" t="s">
        <v>12</v>
      </c>
      <c r="D5" s="1" t="s">
        <v>13</v>
      </c>
      <c r="E5">
        <v>38</v>
      </c>
      <c r="F5">
        <v>60</v>
      </c>
    </row>
    <row r="6" spans="1:6" x14ac:dyDescent="0.3">
      <c r="A6">
        <v>5</v>
      </c>
      <c r="B6" s="1" t="s">
        <v>14</v>
      </c>
      <c r="C6" s="1" t="s">
        <v>7</v>
      </c>
      <c r="D6" s="1" t="s">
        <v>10</v>
      </c>
      <c r="E6">
        <v>80</v>
      </c>
      <c r="F6">
        <v>95</v>
      </c>
    </row>
    <row r="7" spans="1:6" x14ac:dyDescent="0.3">
      <c r="A7">
        <v>6</v>
      </c>
      <c r="B7" s="1" t="s">
        <v>14</v>
      </c>
      <c r="C7" s="1" t="s">
        <v>9</v>
      </c>
      <c r="D7" s="1" t="s">
        <v>13</v>
      </c>
      <c r="E7">
        <v>55</v>
      </c>
      <c r="F7">
        <v>80</v>
      </c>
    </row>
    <row r="8" spans="1:6" x14ac:dyDescent="0.3">
      <c r="A8">
        <v>7</v>
      </c>
      <c r="B8" s="1" t="s">
        <v>14</v>
      </c>
      <c r="C8" s="1" t="s">
        <v>11</v>
      </c>
      <c r="D8" s="1" t="s">
        <v>8</v>
      </c>
      <c r="E8">
        <v>48</v>
      </c>
      <c r="F8">
        <v>75</v>
      </c>
    </row>
    <row r="9" spans="1:6" x14ac:dyDescent="0.3">
      <c r="A9">
        <v>8</v>
      </c>
      <c r="B9" s="1" t="s">
        <v>14</v>
      </c>
      <c r="C9" s="1" t="s">
        <v>12</v>
      </c>
      <c r="D9" s="1" t="s">
        <v>10</v>
      </c>
      <c r="E9">
        <v>68</v>
      </c>
      <c r="F9">
        <v>88</v>
      </c>
    </row>
    <row r="10" spans="1:6" x14ac:dyDescent="0.3">
      <c r="A10">
        <v>9</v>
      </c>
      <c r="B10" s="1" t="s">
        <v>15</v>
      </c>
      <c r="C10" s="1" t="s">
        <v>7</v>
      </c>
      <c r="D10" s="1" t="s">
        <v>13</v>
      </c>
      <c r="E10">
        <v>90</v>
      </c>
      <c r="F10">
        <v>98</v>
      </c>
    </row>
    <row r="11" spans="1:6" x14ac:dyDescent="0.3">
      <c r="A11">
        <v>10</v>
      </c>
      <c r="B11" s="1" t="s">
        <v>15</v>
      </c>
      <c r="C11" s="1" t="s">
        <v>9</v>
      </c>
      <c r="D11" s="1" t="s">
        <v>8</v>
      </c>
      <c r="E11">
        <v>60</v>
      </c>
      <c r="F11">
        <v>82</v>
      </c>
    </row>
    <row r="12" spans="1:6" x14ac:dyDescent="0.3">
      <c r="A12">
        <v>11</v>
      </c>
      <c r="B12" s="1" t="s">
        <v>15</v>
      </c>
      <c r="C12" s="1" t="s">
        <v>11</v>
      </c>
      <c r="D12" s="1" t="s">
        <v>10</v>
      </c>
      <c r="E12">
        <v>75</v>
      </c>
      <c r="F12">
        <v>92</v>
      </c>
    </row>
    <row r="13" spans="1:6" x14ac:dyDescent="0.3">
      <c r="A13">
        <v>12</v>
      </c>
      <c r="B13" s="1" t="s">
        <v>15</v>
      </c>
      <c r="C13" s="1" t="s">
        <v>12</v>
      </c>
      <c r="D13" s="1" t="s">
        <v>13</v>
      </c>
      <c r="E13">
        <v>42</v>
      </c>
      <c r="F13">
        <v>65</v>
      </c>
    </row>
    <row r="14" spans="1:6" x14ac:dyDescent="0.3">
      <c r="A14">
        <v>12</v>
      </c>
      <c r="B14" s="1" t="s">
        <v>15</v>
      </c>
      <c r="C14" s="1" t="s">
        <v>12</v>
      </c>
      <c r="D14" s="1" t="s">
        <v>13</v>
      </c>
      <c r="E14">
        <v>42</v>
      </c>
      <c r="F14">
        <v>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466FC-3F4C-49AC-820F-72D13B896514}">
  <dimension ref="A1:C6"/>
  <sheetViews>
    <sheetView workbookViewId="0">
      <selection activeCell="D10" sqref="D10"/>
    </sheetView>
  </sheetViews>
  <sheetFormatPr defaultRowHeight="14.4" x14ac:dyDescent="0.3"/>
  <cols>
    <col min="1" max="3" width="10.6640625" bestFit="1" customWidth="1"/>
  </cols>
  <sheetData>
    <row r="1" spans="1:3" x14ac:dyDescent="0.3">
      <c r="A1" s="2" t="s">
        <v>2</v>
      </c>
      <c r="B1" s="2" t="s">
        <v>16</v>
      </c>
      <c r="C1" s="2" t="s">
        <v>17</v>
      </c>
    </row>
    <row r="2" spans="1:3" x14ac:dyDescent="0.3">
      <c r="A2" s="2" t="s">
        <v>7</v>
      </c>
      <c r="B2" s="2" t="s">
        <v>18</v>
      </c>
      <c r="C2" s="2" t="s">
        <v>19</v>
      </c>
    </row>
    <row r="3" spans="1:3" x14ac:dyDescent="0.3">
      <c r="A3" s="2" t="s">
        <v>9</v>
      </c>
      <c r="B3" s="2" t="s">
        <v>20</v>
      </c>
      <c r="C3" s="2" t="s">
        <v>19</v>
      </c>
    </row>
    <row r="4" spans="1:3" x14ac:dyDescent="0.3">
      <c r="A4" s="2" t="s">
        <v>11</v>
      </c>
      <c r="B4" s="2" t="s">
        <v>21</v>
      </c>
      <c r="C4" s="2" t="s">
        <v>22</v>
      </c>
    </row>
    <row r="5" spans="1:3" x14ac:dyDescent="0.3">
      <c r="A5" s="2" t="s">
        <v>12</v>
      </c>
      <c r="B5" s="2" t="s">
        <v>23</v>
      </c>
      <c r="C5" s="2" t="s">
        <v>22</v>
      </c>
    </row>
    <row r="6" spans="1:3" x14ac:dyDescent="0.3">
      <c r="A6" s="1"/>
      <c r="B6" s="1"/>
      <c r="C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5F244-12A7-402E-9A90-75C6A7780949}">
  <dimension ref="A1:L21"/>
  <sheetViews>
    <sheetView workbookViewId="0">
      <selection activeCell="I17" sqref="I17"/>
    </sheetView>
  </sheetViews>
  <sheetFormatPr defaultRowHeight="14.4" x14ac:dyDescent="0.3"/>
  <cols>
    <col min="1" max="1" width="12.88671875" bestFit="1" customWidth="1"/>
    <col min="3" max="3" width="10.33203125" bestFit="1" customWidth="1"/>
    <col min="6" max="6" width="13.5546875" bestFit="1" customWidth="1"/>
    <col min="7" max="7" width="9.5546875" bestFit="1" customWidth="1"/>
    <col min="8" max="8" width="10.33203125" bestFit="1" customWidth="1"/>
    <col min="9" max="10" width="22.5546875" bestFit="1" customWidth="1"/>
    <col min="12" max="12" width="10.33203125" bestFit="1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24</v>
      </c>
      <c r="H1" s="4" t="s">
        <v>30</v>
      </c>
      <c r="J1" t="s">
        <v>25</v>
      </c>
      <c r="K1">
        <f>COUNTA(assessments[assessment_id])</f>
        <v>13</v>
      </c>
    </row>
    <row r="2" spans="1:11" x14ac:dyDescent="0.3">
      <c r="A2" s="2">
        <v>1</v>
      </c>
      <c r="B2" s="2" t="s">
        <v>6</v>
      </c>
      <c r="C2" s="2" t="s">
        <v>7</v>
      </c>
      <c r="D2" s="2" t="s">
        <v>8</v>
      </c>
      <c r="E2" s="2">
        <v>72</v>
      </c>
      <c r="F2" s="2">
        <v>90</v>
      </c>
      <c r="G2" s="4">
        <f>IF(E2&gt;=50,1,0)</f>
        <v>1</v>
      </c>
      <c r="H2" s="2" t="str" cm="1">
        <f t="array" ref="H2">_xlfn.IFS(C2="C1","Business", C2="C2","Business", C2="C3","Technology", C2="C4","Technology", TRUE,"Null")</f>
        <v>Business</v>
      </c>
      <c r="J2" t="s">
        <v>26</v>
      </c>
      <c r="K2">
        <f>K1-1</f>
        <v>12</v>
      </c>
    </row>
    <row r="3" spans="1:11" x14ac:dyDescent="0.3">
      <c r="A3" s="2">
        <v>2</v>
      </c>
      <c r="B3" s="2" t="s">
        <v>6</v>
      </c>
      <c r="C3" s="2" t="s">
        <v>9</v>
      </c>
      <c r="D3" s="2" t="s">
        <v>10</v>
      </c>
      <c r="E3" s="2">
        <v>45</v>
      </c>
      <c r="F3" s="2">
        <v>70</v>
      </c>
      <c r="G3" s="4">
        <f t="shared" ref="G3:G13" si="0">IF(E3&gt;=50,1,0)</f>
        <v>0</v>
      </c>
      <c r="H3" s="2" t="str" cm="1">
        <f t="array" ref="H3">_xlfn.IFS(C3="C1","Business", C3="C2","Business", C3="C3","Technology", C3="C4","Technology", TRUE,"Null")</f>
        <v>Business</v>
      </c>
    </row>
    <row r="4" spans="1:11" x14ac:dyDescent="0.3">
      <c r="A4" s="2">
        <v>3</v>
      </c>
      <c r="B4" s="2" t="s">
        <v>6</v>
      </c>
      <c r="C4" s="2" t="s">
        <v>11</v>
      </c>
      <c r="D4" s="2" t="s">
        <v>8</v>
      </c>
      <c r="E4" s="2">
        <v>65</v>
      </c>
      <c r="F4" s="2">
        <v>85</v>
      </c>
      <c r="G4" s="4">
        <f t="shared" si="0"/>
        <v>1</v>
      </c>
      <c r="H4" s="2" t="str" cm="1">
        <f t="array" ref="H4">_xlfn.IFS(C4="C1","Business", C4="C2","Business", C4="C3","Technology", C4="C4","Technology", TRUE,"Null")</f>
        <v>Technology</v>
      </c>
    </row>
    <row r="5" spans="1:11" x14ac:dyDescent="0.3">
      <c r="A5" s="2">
        <v>4</v>
      </c>
      <c r="B5" s="2" t="s">
        <v>6</v>
      </c>
      <c r="C5" s="2" t="s">
        <v>12</v>
      </c>
      <c r="D5" s="2" t="s">
        <v>13</v>
      </c>
      <c r="E5" s="2">
        <v>38</v>
      </c>
      <c r="F5" s="2">
        <v>60</v>
      </c>
      <c r="G5" s="4">
        <f t="shared" si="0"/>
        <v>0</v>
      </c>
      <c r="H5" s="2" t="str" cm="1">
        <f t="array" ref="H5">_xlfn.IFS(C5="C1","Business", C5="C2","Business", C5="C3","Technology", C5="C4","Technology", TRUE,"Null")</f>
        <v>Technology</v>
      </c>
      <c r="J5" s="2" t="s">
        <v>27</v>
      </c>
      <c r="K5" s="2" t="s">
        <v>28</v>
      </c>
    </row>
    <row r="6" spans="1:11" x14ac:dyDescent="0.3">
      <c r="A6" s="2">
        <v>5</v>
      </c>
      <c r="B6" s="2" t="s">
        <v>14</v>
      </c>
      <c r="C6" s="2" t="s">
        <v>7</v>
      </c>
      <c r="D6" s="2" t="s">
        <v>10</v>
      </c>
      <c r="E6" s="2">
        <v>80</v>
      </c>
      <c r="F6" s="2">
        <v>95</v>
      </c>
      <c r="G6" s="4">
        <f t="shared" si="0"/>
        <v>1</v>
      </c>
      <c r="H6" s="2" t="str" cm="1">
        <f t="array" ref="H6">_xlfn.IFS(C6="C1","Business", C6="C2","Business", C6="C3","Technology", C6="C4","Technology", TRUE,"Null")</f>
        <v>Business</v>
      </c>
      <c r="J6" s="2" t="s">
        <v>29</v>
      </c>
      <c r="K6" s="2">
        <v>3</v>
      </c>
    </row>
    <row r="7" spans="1:11" x14ac:dyDescent="0.3">
      <c r="A7" s="2">
        <v>6</v>
      </c>
      <c r="B7" s="2" t="s">
        <v>14</v>
      </c>
      <c r="C7" s="2" t="s">
        <v>9</v>
      </c>
      <c r="D7" s="2" t="s">
        <v>13</v>
      </c>
      <c r="E7" s="2">
        <v>55</v>
      </c>
      <c r="F7" s="2">
        <v>80</v>
      </c>
      <c r="G7" s="4">
        <f t="shared" si="0"/>
        <v>1</v>
      </c>
      <c r="H7" s="2" t="str" cm="1">
        <f t="array" ref="H7">_xlfn.IFS(C7="C1","Business", C7="C2","Business", C7="C3","Technology", C7="C4","Technology", TRUE,"Null")</f>
        <v>Business</v>
      </c>
      <c r="J7" s="2" t="s">
        <v>10</v>
      </c>
      <c r="K7" s="2">
        <v>3</v>
      </c>
    </row>
    <row r="8" spans="1:11" x14ac:dyDescent="0.3">
      <c r="A8" s="2">
        <v>7</v>
      </c>
      <c r="B8" s="2" t="s">
        <v>14</v>
      </c>
      <c r="C8" s="2" t="s">
        <v>11</v>
      </c>
      <c r="D8" s="2" t="s">
        <v>8</v>
      </c>
      <c r="E8" s="2">
        <v>48</v>
      </c>
      <c r="F8" s="2">
        <v>75</v>
      </c>
      <c r="G8" s="4">
        <f t="shared" si="0"/>
        <v>0</v>
      </c>
      <c r="H8" s="2" t="str" cm="1">
        <f t="array" ref="H8">_xlfn.IFS(C8="C1","Business", C8="C2","Business", C8="C3","Technology", C8="C4","Technology", TRUE,"Null")</f>
        <v>Technology</v>
      </c>
      <c r="J8" s="2" t="s">
        <v>13</v>
      </c>
      <c r="K8" s="2">
        <v>2</v>
      </c>
    </row>
    <row r="9" spans="1:11" x14ac:dyDescent="0.3">
      <c r="A9" s="2">
        <v>8</v>
      </c>
      <c r="B9" s="2" t="s">
        <v>14</v>
      </c>
      <c r="C9" s="2" t="s">
        <v>12</v>
      </c>
      <c r="D9" s="2" t="s">
        <v>10</v>
      </c>
      <c r="E9" s="2">
        <v>68</v>
      </c>
      <c r="F9" s="2">
        <v>88</v>
      </c>
      <c r="G9" s="4">
        <f t="shared" si="0"/>
        <v>1</v>
      </c>
      <c r="H9" s="2" t="str" cm="1">
        <f t="array" ref="H9">_xlfn.IFS(C9="C1","Business", C9="C2","Business", C9="C3","Technology", C9="C4","Technology", TRUE,"Null")</f>
        <v>Technology</v>
      </c>
    </row>
    <row r="10" spans="1:11" x14ac:dyDescent="0.3">
      <c r="A10" s="2">
        <v>9</v>
      </c>
      <c r="B10" s="2" t="s">
        <v>15</v>
      </c>
      <c r="C10" s="2" t="s">
        <v>7</v>
      </c>
      <c r="D10" s="2" t="s">
        <v>13</v>
      </c>
      <c r="E10" s="2">
        <v>90</v>
      </c>
      <c r="F10" s="2">
        <v>98</v>
      </c>
      <c r="G10" s="4">
        <f t="shared" si="0"/>
        <v>1</v>
      </c>
      <c r="H10" s="2" t="str" cm="1">
        <f t="array" ref="H10">_xlfn.IFS(C10="C1","Business", C10="C2","Business", C10="C3","Technology", C10="C4","Technology", TRUE,"Null")</f>
        <v>Business</v>
      </c>
    </row>
    <row r="11" spans="1:11" x14ac:dyDescent="0.3">
      <c r="A11" s="2">
        <v>10</v>
      </c>
      <c r="B11" s="2" t="s">
        <v>15</v>
      </c>
      <c r="C11" s="2" t="s">
        <v>9</v>
      </c>
      <c r="D11" s="2" t="s">
        <v>8</v>
      </c>
      <c r="E11" s="2">
        <v>60</v>
      </c>
      <c r="F11" s="2">
        <v>82</v>
      </c>
      <c r="G11" s="4">
        <f t="shared" si="0"/>
        <v>1</v>
      </c>
      <c r="H11" s="2" t="str" cm="1">
        <f t="array" ref="H11">_xlfn.IFS(C11="C1","Business", C11="C2","Business", C11="C3","Technology", C11="C4","Technology", TRUE,"Null")</f>
        <v>Business</v>
      </c>
    </row>
    <row r="12" spans="1:11" x14ac:dyDescent="0.3">
      <c r="A12" s="2">
        <v>11</v>
      </c>
      <c r="B12" s="2" t="s">
        <v>15</v>
      </c>
      <c r="C12" s="2" t="s">
        <v>11</v>
      </c>
      <c r="D12" s="2" t="s">
        <v>10</v>
      </c>
      <c r="E12" s="2">
        <v>75</v>
      </c>
      <c r="F12" s="2">
        <v>92</v>
      </c>
      <c r="G12" s="4">
        <f t="shared" si="0"/>
        <v>1</v>
      </c>
      <c r="H12" s="2" t="str" cm="1">
        <f t="array" ref="H12">_xlfn.IFS(C12="C1","Business", C12="C2","Business", C12="C3","Technology", C12="C4","Technology", TRUE,"Null")</f>
        <v>Technology</v>
      </c>
    </row>
    <row r="13" spans="1:11" x14ac:dyDescent="0.3">
      <c r="A13" s="2">
        <v>12</v>
      </c>
      <c r="B13" s="2" t="s">
        <v>15</v>
      </c>
      <c r="C13" s="2" t="s">
        <v>12</v>
      </c>
      <c r="D13" s="2" t="s">
        <v>13</v>
      </c>
      <c r="E13" s="2">
        <v>42</v>
      </c>
      <c r="F13" s="2">
        <v>65</v>
      </c>
      <c r="G13" s="4">
        <f t="shared" si="0"/>
        <v>0</v>
      </c>
      <c r="H13" s="2" t="str" cm="1">
        <f t="array" ref="H13">_xlfn.IFS(C13="C1","Business", C13="C2","Business", C13="C3","Technology", C13="C4","Technology", TRUE,"Null")</f>
        <v>Technology</v>
      </c>
    </row>
    <row r="17" spans="1:12" x14ac:dyDescent="0.3">
      <c r="A17" s="2" t="s">
        <v>2</v>
      </c>
      <c r="B17" s="2" t="s">
        <v>16</v>
      </c>
      <c r="C17" s="2" t="s">
        <v>17</v>
      </c>
      <c r="J17" s="2" t="s">
        <v>2</v>
      </c>
      <c r="K17" s="2" t="s">
        <v>16</v>
      </c>
      <c r="L17" s="2" t="s">
        <v>17</v>
      </c>
    </row>
    <row r="18" spans="1:12" x14ac:dyDescent="0.3">
      <c r="A18" s="2" t="s">
        <v>7</v>
      </c>
      <c r="B18" s="2" t="s">
        <v>18</v>
      </c>
      <c r="C18" s="2" t="s">
        <v>19</v>
      </c>
      <c r="J18" s="2" t="s">
        <v>12</v>
      </c>
      <c r="K18" s="2" t="str" cm="1">
        <f t="array" ref="K18:L18">_xlfn.XLOOKUP(J18,A18:A21,B18:C21)</f>
        <v>Python</v>
      </c>
      <c r="L18" s="2" t="str">
        <v>Technology</v>
      </c>
    </row>
    <row r="19" spans="1:12" x14ac:dyDescent="0.3">
      <c r="A19" s="2" t="s">
        <v>9</v>
      </c>
      <c r="B19" s="2" t="s">
        <v>20</v>
      </c>
      <c r="C19" s="2" t="s">
        <v>19</v>
      </c>
    </row>
    <row r="20" spans="1:12" x14ac:dyDescent="0.3">
      <c r="A20" s="2" t="s">
        <v>11</v>
      </c>
      <c r="B20" s="2" t="s">
        <v>21</v>
      </c>
      <c r="C20" s="2" t="s">
        <v>22</v>
      </c>
    </row>
    <row r="21" spans="1:12" x14ac:dyDescent="0.3">
      <c r="A21" s="2" t="s">
        <v>12</v>
      </c>
      <c r="B21" s="2" t="s">
        <v>23</v>
      </c>
      <c r="C21" s="2" t="s">
        <v>22</v>
      </c>
    </row>
  </sheetData>
  <dataValidations count="1">
    <dataValidation type="list" allowBlank="1" showInputMessage="1" showErrorMessage="1" sqref="J18" xr:uid="{D9BF7F1E-7451-4120-AEB0-EA8847E7C8EA}">
      <formula1>$A$18:$A$21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062F-FBD5-4F17-A450-49D043434F42}">
  <dimension ref="A1:E5"/>
  <sheetViews>
    <sheetView tabSelected="1" workbookViewId="0">
      <selection sqref="A1:E5"/>
    </sheetView>
  </sheetViews>
  <sheetFormatPr defaultRowHeight="14.4" x14ac:dyDescent="0.3"/>
  <cols>
    <col min="1" max="1" width="14.44140625" bestFit="1" customWidth="1"/>
    <col min="2" max="2" width="15.5546875" bestFit="1" customWidth="1"/>
    <col min="3" max="4" width="6" bestFit="1" customWidth="1"/>
    <col min="5" max="5" width="10.5546875" bestFit="1" customWidth="1"/>
  </cols>
  <sheetData>
    <row r="1" spans="1:5" x14ac:dyDescent="0.3">
      <c r="A1" s="5" t="s">
        <v>34</v>
      </c>
      <c r="B1" s="5" t="s">
        <v>33</v>
      </c>
    </row>
    <row r="2" spans="1:5" x14ac:dyDescent="0.3">
      <c r="A2" s="5" t="s">
        <v>31</v>
      </c>
      <c r="B2" t="s">
        <v>6</v>
      </c>
      <c r="C2" t="s">
        <v>14</v>
      </c>
      <c r="D2" t="s">
        <v>15</v>
      </c>
      <c r="E2" t="s">
        <v>32</v>
      </c>
    </row>
    <row r="3" spans="1:5" x14ac:dyDescent="0.3">
      <c r="A3" s="6" t="s">
        <v>19</v>
      </c>
      <c r="B3" s="1">
        <v>58.5</v>
      </c>
      <c r="C3" s="1">
        <v>67.5</v>
      </c>
      <c r="D3" s="1">
        <v>75</v>
      </c>
      <c r="E3" s="1">
        <v>67</v>
      </c>
    </row>
    <row r="4" spans="1:5" x14ac:dyDescent="0.3">
      <c r="A4" s="6" t="s">
        <v>22</v>
      </c>
      <c r="B4" s="1">
        <v>51.5</v>
      </c>
      <c r="C4" s="1">
        <v>58</v>
      </c>
      <c r="D4" s="1">
        <v>58.5</v>
      </c>
      <c r="E4" s="1">
        <v>56</v>
      </c>
    </row>
    <row r="5" spans="1:5" x14ac:dyDescent="0.3">
      <c r="A5" s="6" t="s">
        <v>32</v>
      </c>
      <c r="B5" s="1">
        <v>55</v>
      </c>
      <c r="C5" s="1">
        <v>62.75</v>
      </c>
      <c r="D5" s="1">
        <v>66.75</v>
      </c>
      <c r="E5" s="1">
        <v>61.5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915ADAC-31FE-477B-A661-F67DCBF28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Lookup</vt:lpstr>
      <vt:lpstr>Clean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Vaja</dc:creator>
  <cp:lastModifiedBy>Om Vaja</cp:lastModifiedBy>
  <dcterms:created xsi:type="dcterms:W3CDTF">2026-10-03T04:31:56Z</dcterms:created>
  <dcterms:modified xsi:type="dcterms:W3CDTF">2026-10-03T05:06:33Z</dcterms:modified>
</cp:coreProperties>
</file>