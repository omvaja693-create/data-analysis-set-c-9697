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set-c-9697\excel\"/>
    </mc:Choice>
  </mc:AlternateContent>
  <xr:revisionPtr revIDLastSave="0" documentId="13_ncr:1_{36754F1E-FBD4-4BB1-9AD2-159323F6D14E}" xr6:coauthVersionLast="47" xr6:coauthVersionMax="47" xr10:uidLastSave="{00000000-0000-0000-0000-000000000000}"/>
  <bookViews>
    <workbookView xWindow="-108" yWindow="-108" windowWidth="23256" windowHeight="13176" activeTab="2" xr2:uid="{B48F3378-1F63-4DDB-978B-C970769D6A82}"/>
  </bookViews>
  <sheets>
    <sheet name="Raw" sheetId="5" r:id="rId1"/>
    <sheet name="Lookup" sheetId="6" r:id="rId2"/>
    <sheet name="Clean" sheetId="3" r:id="rId3"/>
    <sheet name="Summary" sheetId="4" r:id="rId4"/>
  </sheets>
  <definedNames>
    <definedName name="ExternalData_1" localSheetId="0" hidden="1">Raw!$A$1:$F$14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 a="1"/>
  <c r="I3" i="3"/>
  <c r="I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73498-91A3-4C3A-97D7-E4CB620C9621}" keepAlive="1" name="Query - assessments" description="Connection to the 'assessments' query in the workbook." type="5" refreshedVersion="8" background="1" saveData="1">
    <dbPr connection="Provider=Microsoft.Mashup.OleDb.1;Data Source=$Workbook$;Location=assessments;Extended Properties=&quot;&quot;" command="SELECT * FROM [assessments]"/>
  </connection>
  <connection id="2" xr16:uid="{8561825C-598E-4121-9D7C-BB32B91472A8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<sst xmlns="http://schemas.openxmlformats.org/spreadsheetml/2006/main" count="124" uniqueCount="27">
  <si>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</si>
  <si>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</si>
  <si>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</si>
  <si>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</si>
  <si>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</si>
  <si>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</si>
  <si>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</si>
  <si>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</si>
  <si>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</si>
  <si>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</si>
  <si>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</si>
  <si>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</si>
  <si>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</si>
  <si>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</si>
  <si>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</si>
  <si>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</si>
  <si>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</si>
  <si>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</si>
  <si>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</si>
  <si>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</si>
  <si>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</si>
  <si>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</si>
  <si>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</si>
  <si>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</si>
  <si>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before</t>
  </si>
  <si>
    <t>after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</si>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</sst>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8E591-7439-4197-AA41-00733715DB06}" autoFormatId="16" applyNumberFormats="0" applyBorderFormats="0" applyFontFormats="0" applyPatternFormats="0" applyAlignmentFormats="0" applyWidthHeightFormats="0">
  <queryTableRefresh nextId="7">
    <queryTableFields count="6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27AB9-4790-4598-AA23-F130ACEEA182}" name="assessments" displayName="assessments" ref="A1:F14" tableType="queryTable" totalsRowShown="0">
  <autoFilter ref="A1:F14" xr:uid="{07027AB9-4790-4598-AA23-F130ACEEA182}"/>
  <tableColumns count="6">
    <tableColumn id="1" xr3:uid="{B0729666-B364-4F9D-A197-17C8609D0056}" uniqueName="1" name="assessment_id" queryTableFieldId="1"/>
    <tableColumn id="2" xr3:uid="{E7ACB076-B513-4A9F-9F7B-63D9A22426B6}" uniqueName="2" name="month" queryTableFieldId="2" dataDxfId="2"/>
    <tableColumn id="3" xr3:uid="{D9653B94-348B-4AD1-94CE-7B04D5C17D6E}" uniqueName="3" name="course_id" queryTableFieldId="3" dataDxfId="1"/>
    <tableColumn id="4" xr3:uid="{BA2F3915-A654-41CD-9FE3-4128375EAD34}" uniqueName="4" name="batch" queryTableFieldId="4" dataDxfId="0"/>
    <tableColumn id="5" xr3:uid="{A2F4E64B-72A5-415C-BB11-F4F1BA64B60A}" uniqueName="5" name="score" queryTableFieldId="5"/>
    <tableColumn id="6" xr3:uid="{CD2CAAFE-EA82-4725-8E83-7A3A26CF8233}" uniqueName="6" name="attendance_pc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969E-922B-44B3-89EA-E1C274887A5F}">
  <dimension ref="A1:F14"/>
  <sheetViews>
    <sheetView workbookViewId="0">
      <selection activeCell="C27" sqref="C27"/>
    </sheetView>
  </sheetViews>
  <sheetFormatPr defaultRowHeight="14.4" x14ac:dyDescent="0.3"/>
  <cols>
    <col min="1" max="1" width="15.6640625" bestFit="1" customWidth="1"/>
    <col min="2" max="2" width="8.5546875" bestFit="1" customWidth="1"/>
    <col min="3" max="3" width="11.21875" bestFit="1" customWidth="1"/>
    <col min="4" max="4" width="8.5546875" bestFit="1" customWidth="1"/>
    <col min="5" max="5" width="7.77734375" bestFit="1" customWidth="1"/>
    <col min="6" max="6" width="16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72</v>
      </c>
      <c r="F2">
        <v>90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45</v>
      </c>
      <c r="F3">
        <v>70</v>
      </c>
    </row>
    <row r="4" spans="1:6" x14ac:dyDescent="0.3">
      <c r="A4">
        <v>3</v>
      </c>
      <c r="B4" s="1" t="s">
        <v>6</v>
      </c>
      <c r="C4" s="1" t="s">
        <v>11</v>
      </c>
      <c r="D4" s="1" t="s">
        <v>8</v>
      </c>
      <c r="E4">
        <v>65</v>
      </c>
      <c r="F4">
        <v>85</v>
      </c>
    </row>
    <row r="5" spans="1:6" x14ac:dyDescent="0.3">
      <c r="A5">
        <v>4</v>
      </c>
      <c r="B5" s="1" t="s">
        <v>6</v>
      </c>
      <c r="C5" s="1" t="s">
        <v>12</v>
      </c>
      <c r="D5" s="1" t="s">
        <v>13</v>
      </c>
      <c r="E5">
        <v>38</v>
      </c>
      <c r="F5">
        <v>60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80</v>
      </c>
      <c r="F6">
        <v>95</v>
      </c>
    </row>
    <row r="7" spans="1:6" x14ac:dyDescent="0.3">
      <c r="A7">
        <v>6</v>
      </c>
      <c r="B7" s="1" t="s">
        <v>14</v>
      </c>
      <c r="C7" s="1" t="s">
        <v>9</v>
      </c>
      <c r="D7" s="1" t="s">
        <v>13</v>
      </c>
      <c r="E7">
        <v>55</v>
      </c>
      <c r="F7">
        <v>80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48</v>
      </c>
      <c r="F8">
        <v>75</v>
      </c>
    </row>
    <row r="9" spans="1:6" x14ac:dyDescent="0.3">
      <c r="A9">
        <v>8</v>
      </c>
      <c r="B9" s="1" t="s">
        <v>14</v>
      </c>
      <c r="C9" s="1" t="s">
        <v>12</v>
      </c>
      <c r="D9" s="1" t="s">
        <v>10</v>
      </c>
      <c r="E9">
        <v>68</v>
      </c>
      <c r="F9">
        <v>88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13</v>
      </c>
      <c r="E10">
        <v>90</v>
      </c>
      <c r="F10">
        <v>98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60</v>
      </c>
      <c r="F11">
        <v>82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75</v>
      </c>
      <c r="F12">
        <v>92</v>
      </c>
    </row>
    <row r="13" spans="1:6" x14ac:dyDescent="0.3">
      <c r="A13">
        <v>12</v>
      </c>
      <c r="B13" s="1" t="s">
        <v>15</v>
      </c>
      <c r="C13" s="1" t="s">
        <v>12</v>
      </c>
      <c r="D13" s="1" t="s">
        <v>13</v>
      </c>
      <c r="E13">
        <v>42</v>
      </c>
      <c r="F13">
        <v>65</v>
      </c>
    </row>
    <row r="14" spans="1:6" x14ac:dyDescent="0.3">
      <c r="A14">
        <v>12</v>
      </c>
      <c r="B14" s="1" t="s">
        <v>15</v>
      </c>
      <c r="C14" s="1" t="s">
        <v>12</v>
      </c>
      <c r="D14" s="1" t="s">
        <v>13</v>
      </c>
      <c r="E14">
        <v>42</v>
      </c>
      <c r="F14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66FC-3F4C-49AC-820F-72D13B896514}">
  <dimension ref="A1:C6"/>
  <sheetViews>
    <sheetView workbookViewId="0">
      <selection activeCell="D10" sqref="D10"/>
    </sheetView>
  </sheetViews>
  <sheetFormatPr defaultRowHeight="14.4" x14ac:dyDescent="0.3"/>
  <cols>
    <col min="1" max="3" width="10.6640625" bestFit="1" customWidth="1"/>
  </cols>
  <sheetData>
    <row r="1" spans="1:3" x14ac:dyDescent="0.3">
      <c r="A1" s="2" t="s">
        <v>2</v>
      </c>
      <c r="B1" s="2" t="s">
        <v>16</v>
      </c>
      <c r="C1" s="2" t="s">
        <v>17</v>
      </c>
    </row>
    <row r="2" spans="1:3" x14ac:dyDescent="0.3">
      <c r="A2" s="2" t="s">
        <v>7</v>
      </c>
      <c r="B2" s="2" t="s">
        <v>18</v>
      </c>
      <c r="C2" s="2" t="s">
        <v>19</v>
      </c>
    </row>
    <row r="3" spans="1:3" x14ac:dyDescent="0.3">
      <c r="A3" s="2" t="s">
        <v>9</v>
      </c>
      <c r="B3" s="2" t="s">
        <v>20</v>
      </c>
      <c r="C3" s="2" t="s">
        <v>19</v>
      </c>
    </row>
    <row r="4" spans="1:3" x14ac:dyDescent="0.3">
      <c r="A4" s="2" t="s">
        <v>11</v>
      </c>
      <c r="B4" s="2" t="s">
        <v>21</v>
      </c>
      <c r="C4" s="2" t="s">
        <v>22</v>
      </c>
    </row>
    <row r="5" spans="1:3" x14ac:dyDescent="0.3">
      <c r="A5" s="2" t="s">
        <v>12</v>
      </c>
      <c r="B5" s="2" t="s">
        <v>23</v>
      </c>
      <c r="C5" s="2" t="s">
        <v>22</v>
      </c>
    </row>
    <row r="6" spans="1:3" x14ac:dyDescent="0.3">
      <c r="A6" s="1"/>
      <c r="B6" s="1"/>
      <c r="C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F244-12A7-402E-9A90-75C6A7780949}">
  <dimension ref="A1:I21"/>
  <sheetViews>
    <sheetView tabSelected="1" workbookViewId="0">
      <selection activeCell="J23" sqref="J23"/>
    </sheetView>
  </sheetViews>
  <sheetFormatPr defaultRowHeight="14.4" x14ac:dyDescent="0.3"/>
  <cols>
    <col min="1" max="1" width="12.88671875" bestFit="1" customWidth="1"/>
    <col min="3" max="3" width="10.33203125" bestFit="1" customWidth="1"/>
    <col min="6" max="6" width="13.5546875" bestFit="1" customWidth="1"/>
    <col min="8" max="8" width="10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72</v>
      </c>
      <c r="F2" s="2">
        <v>90</v>
      </c>
    </row>
    <row r="3" spans="1:9" x14ac:dyDescent="0.3">
      <c r="A3" s="2">
        <v>2</v>
      </c>
      <c r="B3" s="2" t="s">
        <v>6</v>
      </c>
      <c r="C3" s="2" t="s">
        <v>9</v>
      </c>
      <c r="D3" s="2" t="s">
        <v>10</v>
      </c>
      <c r="E3" s="2">
        <v>45</v>
      </c>
      <c r="F3" s="2">
        <v>70</v>
      </c>
      <c r="H3" t="s">
        <v>24</v>
      </c>
      <c r="I3">
        <f>COUNTA(assessments[assessment_id])</f>
        <v>13</v>
      </c>
    </row>
    <row r="4" spans="1:9" x14ac:dyDescent="0.3">
      <c r="A4" s="2">
        <v>3</v>
      </c>
      <c r="B4" s="2" t="s">
        <v>6</v>
      </c>
      <c r="C4" s="2" t="s">
        <v>11</v>
      </c>
      <c r="D4" s="2" t="s">
        <v>8</v>
      </c>
      <c r="E4" s="2">
        <v>65</v>
      </c>
      <c r="F4" s="2">
        <v>85</v>
      </c>
      <c r="H4" t="s">
        <v>25</v>
      </c>
      <c r="I4">
        <f>I3-1</f>
        <v>12</v>
      </c>
    </row>
    <row r="5" spans="1:9" x14ac:dyDescent="0.3">
      <c r="A5" s="2">
        <v>4</v>
      </c>
      <c r="B5" s="2" t="s">
        <v>6</v>
      </c>
      <c r="C5" s="2" t="s">
        <v>12</v>
      </c>
      <c r="D5" s="2" t="s">
        <v>13</v>
      </c>
      <c r="E5" s="2">
        <v>38</v>
      </c>
      <c r="F5" s="2">
        <v>60</v>
      </c>
      <c r="I5" t="s">
        <v>26</v>
      </c>
    </row>
    <row r="6" spans="1:9" x14ac:dyDescent="0.3">
      <c r="A6" s="2">
        <v>5</v>
      </c>
      <c r="B6" s="2" t="s">
        <v>14</v>
      </c>
      <c r="C6" s="2" t="s">
        <v>7</v>
      </c>
      <c r="D6" s="2" t="s">
        <v>10</v>
      </c>
      <c r="E6" s="2">
        <v>80</v>
      </c>
      <c r="F6" s="2">
        <v>95</v>
      </c>
    </row>
    <row r="7" spans="1:9" x14ac:dyDescent="0.3">
      <c r="A7" s="2">
        <v>6</v>
      </c>
      <c r="B7" s="2" t="s">
        <v>14</v>
      </c>
      <c r="C7" s="2" t="s">
        <v>9</v>
      </c>
      <c r="D7" s="2" t="s">
        <v>13</v>
      </c>
      <c r="E7" s="2">
        <v>55</v>
      </c>
      <c r="F7" s="2">
        <v>80</v>
      </c>
    </row>
    <row r="8" spans="1:9" x14ac:dyDescent="0.3">
      <c r="A8" s="2">
        <v>7</v>
      </c>
      <c r="B8" s="2" t="s">
        <v>14</v>
      </c>
      <c r="C8" s="2" t="s">
        <v>11</v>
      </c>
      <c r="D8" s="2" t="s">
        <v>8</v>
      </c>
      <c r="E8" s="2">
        <v>48</v>
      </c>
      <c r="F8" s="2">
        <v>75</v>
      </c>
    </row>
    <row r="9" spans="1:9" x14ac:dyDescent="0.3">
      <c r="A9" s="2">
        <v>8</v>
      </c>
      <c r="B9" s="2" t="s">
        <v>14</v>
      </c>
      <c r="C9" s="2" t="s">
        <v>12</v>
      </c>
      <c r="D9" s="2" t="s">
        <v>10</v>
      </c>
      <c r="E9" s="2">
        <v>68</v>
      </c>
      <c r="F9" s="2">
        <v>88</v>
      </c>
    </row>
    <row r="10" spans="1:9" x14ac:dyDescent="0.3">
      <c r="A10" s="2">
        <v>9</v>
      </c>
      <c r="B10" s="2" t="s">
        <v>15</v>
      </c>
      <c r="C10" s="2" t="s">
        <v>7</v>
      </c>
      <c r="D10" s="2" t="s">
        <v>13</v>
      </c>
      <c r="E10" s="2">
        <v>90</v>
      </c>
      <c r="F10" s="2">
        <v>98</v>
      </c>
    </row>
    <row r="11" spans="1:9" x14ac:dyDescent="0.3">
      <c r="A11" s="2">
        <v>10</v>
      </c>
      <c r="B11" s="2" t="s">
        <v>15</v>
      </c>
      <c r="C11" s="2" t="s">
        <v>9</v>
      </c>
      <c r="D11" s="2" t="s">
        <v>8</v>
      </c>
      <c r="E11" s="2">
        <v>60</v>
      </c>
      <c r="F11" s="2">
        <v>82</v>
      </c>
    </row>
    <row r="12" spans="1:9" x14ac:dyDescent="0.3">
      <c r="A12" s="2">
        <v>11</v>
      </c>
      <c r="B12" s="2" t="s">
        <v>15</v>
      </c>
      <c r="C12" s="2" t="s">
        <v>11</v>
      </c>
      <c r="D12" s="2" t="s">
        <v>10</v>
      </c>
      <c r="E12" s="2">
        <v>75</v>
      </c>
      <c r="F12" s="2">
        <v>92</v>
      </c>
    </row>
    <row r="13" spans="1:9" x14ac:dyDescent="0.3">
      <c r="A13" s="2">
        <v>12</v>
      </c>
      <c r="B13" s="2" t="s">
        <v>15</v>
      </c>
      <c r="C13" s="2" t="s">
        <v>12</v>
      </c>
      <c r="D13" s="2" t="s">
        <v>13</v>
      </c>
      <c r="E13" s="2">
        <v>42</v>
      </c>
      <c r="F13" s="2">
        <v>65</v>
      </c>
    </row>
    <row r="17" spans="1:8" x14ac:dyDescent="0.3">
      <c r="A17" s="2" t="s">
        <v>2</v>
      </c>
      <c r="B17" s="2" t="s">
        <v>16</v>
      </c>
      <c r="C17" s="2" t="s">
        <v>17</v>
      </c>
      <c r="F17" s="2" t="s">
        <v>2</v>
      </c>
      <c r="G17" s="2" t="s">
        <v>16</v>
      </c>
      <c r="H17" s="2" t="s">
        <v>17</v>
      </c>
    </row>
    <row r="18" spans="1:8" x14ac:dyDescent="0.3">
      <c r="A18" s="2" t="s">
        <v>7</v>
      </c>
      <c r="B18" s="2" t="s">
        <v>18</v>
      </c>
      <c r="C18" s="2" t="s">
        <v>19</v>
      </c>
      <c r="F18" s="2" t="s">
        <v>12</v>
      </c>
      <c r="G18" s="2" t="str" cm="1">
        <f t="array" ref="G18:H18">_xlfn.XLOOKUP(F18,A18:A21,B18:C21)</f>
        <v>Python</v>
      </c>
      <c r="H18" s="2" t="str">
        <v>Technology</v>
      </c>
    </row>
    <row r="19" spans="1:8" x14ac:dyDescent="0.3">
      <c r="A19" s="2" t="s">
        <v>9</v>
      </c>
      <c r="B19" s="2" t="s">
        <v>20</v>
      </c>
      <c r="C19" s="2" t="s">
        <v>19</v>
      </c>
    </row>
    <row r="20" spans="1:8" x14ac:dyDescent="0.3">
      <c r="A20" s="2" t="s">
        <v>11</v>
      </c>
      <c r="B20" s="2" t="s">
        <v>21</v>
      </c>
      <c r="C20" s="2" t="s">
        <v>22</v>
      </c>
    </row>
    <row r="21" spans="1:8" x14ac:dyDescent="0.3">
      <c r="A21" s="2" t="s">
        <v>12</v>
      </c>
      <c r="B21" s="2" t="s">
        <v>23</v>
      </c>
      <c r="C21" s="2" t="s">
        <v>22</v>
      </c>
    </row>
  </sheetData>
  <dataValidations count="1">
    <dataValidation type="list" allowBlank="1" showInputMessage="1" showErrorMessage="1" sqref="F18" xr:uid="{D9BF7F1E-7451-4120-AEB0-EA8847E7C8EA}">
      <formula1>$A$18:$A$21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062F-FBD5-4F17-A450-49D043434F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15ADAC-31FE-477B-A661-F67DCBF28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Vaja</dc:creator>
  <cp:lastModifiedBy>Om Vaja</cp:lastModifiedBy>
  <dcterms:created xsi:type="dcterms:W3CDTF">2026-10-03T04:31:56Z</dcterms:created>
  <dcterms:modified xsi:type="dcterms:W3CDTF">2026-10-03T04:43:27Z</dcterms:modified>
</cp:coreProperties>
</file>